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TAM_SAM_SOM" sheetId="2" state="visible" r:id="rId4"/>
    <sheet name="Revenue Model" sheetId="3" state="visible" r:id="rId5"/>
    <sheet name="Business Model Canvas" sheetId="4" state="visible" r:id="rId6"/>
    <sheet name="Sources" sheetId="5" state="visible" r:id="rId7"/>
    <sheet name="Unit Economic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<sst xmlns="http://schemas.openxmlformats.org/spreadsheetml/2006/main" count="164" uniqueCount="159">
  <si>
    <t xml:space="preserve">Limber — Global Market Sizing &amp; Revenue Model</t>
  </si>
  <si>
    <t xml:space="preserve">Neuroplasticity-core consumer app · Worldwide · TAM/SAM/SOM + 3-Year Revenue + Business Model Canvas · June 2026</t>
  </si>
  <si>
    <t xml:space="preserve">Blue=input · Black=formula · Green=cross-sheet link · Yellow=key assumption. Sources on Sources tab.</t>
  </si>
  <si>
    <t xml:space="preserve">MARKET INPUTS (global)</t>
  </si>
  <si>
    <t xml:space="preserve">Value</t>
  </si>
  <si>
    <t xml:space="preserve">Source</t>
  </si>
  <si>
    <t xml:space="preserve">Cognitively-concerned, digitally-active adults (M) [TAM users]</t>
  </si>
  <si>
    <t xml:space="preserve">Derived from regional adult/ smartphone + concern data</t>
  </si>
  <si>
    <t xml:space="preserve">Income/motivation-qualified adults (M) [SAM users]</t>
  </si>
  <si>
    <t xml:space="preserve">Income-filtered, motivation-matched subset</t>
  </si>
  <si>
    <t xml:space="preserve">Blended B2C ARPU ($/paying user/yr)</t>
  </si>
  <si>
    <t xml:space="preserve">Calm/Headspace/BrainHQ benchmark blend</t>
  </si>
  <si>
    <t xml:space="preserve">Mental-health apps market 2025 ($B)</t>
  </si>
  <si>
    <t xml:space="preserve">MarketsandMarkets 2025</t>
  </si>
  <si>
    <t xml:space="preserve">Neurotechnology market 2025 ($B)</t>
  </si>
  <si>
    <t xml:space="preserve">Precedence / Fortune BI 2025</t>
  </si>
  <si>
    <t xml:space="preserve">Brain-fitness software market 2025 ($B)</t>
  </si>
  <si>
    <t xml:space="preserve">Global Growth Insights / FMI 2025</t>
  </si>
  <si>
    <t xml:space="preserve">MONETIZATION INPUTS</t>
  </si>
  <si>
    <t xml:space="preserve">Basis</t>
  </si>
  <si>
    <t xml:space="preserve">Plus price ($/yr)</t>
  </si>
  <si>
    <t xml:space="preserve">$12.99/mo anchor vs Calm/Headspace</t>
  </si>
  <si>
    <t xml:space="preserve">Pro price ($/yr)</t>
  </si>
  <si>
    <t xml:space="preserve">$19.99/mo incl. coaching</t>
  </si>
  <si>
    <t xml:space="preserve">Blended paid ARPU ($/yr)</t>
  </si>
  <si>
    <t xml:space="preserve">Mix of Plus/Pro + annual skew</t>
  </si>
  <si>
    <t xml:space="preserve">Free-to-paid conversion</t>
  </si>
  <si>
    <t xml:space="preserve">Beachhead = science-literate, higher-intent</t>
  </si>
  <si>
    <t xml:space="preserve">B2B employer PEPM ($/employee/month)</t>
  </si>
  <si>
    <t xml:space="preserve">Corporate cognitive-wellbeing benchmark</t>
  </si>
  <si>
    <t xml:space="preserve">Hardware/biofeedback net ARPU ($/yr)</t>
  </si>
  <si>
    <t xml:space="preserve">Optional EEG/HRV attach</t>
  </si>
  <si>
    <t xml:space="preserve">DiGA/clinical reimbursed ($/90-day course)</t>
  </si>
  <si>
    <t xml:space="preserve">Germany DiGA mean ~€227</t>
  </si>
  <si>
    <t xml:space="preserve">TAM · SAM · SOM — Global</t>
  </si>
  <si>
    <t xml:space="preserve">Bottom-up (users × annual value), cross-checked vs cited market reports. Plan to SAM/SOM, not headline TAM.</t>
  </si>
  <si>
    <t xml:space="preserve">BOTTOM-UP</t>
  </si>
  <si>
    <t xml:space="preserve">Users (M)</t>
  </si>
  <si>
    <t xml:space="preserve">Value/user ($/yr)</t>
  </si>
  <si>
    <t xml:space="preserve">Market ($B)</t>
  </si>
  <si>
    <t xml:space="preserve">Logic</t>
  </si>
  <si>
    <t xml:space="preserve">TAM — cognitively-concerned digital adults</t>
  </si>
  <si>
    <t xml:space="preserve">730M adults × $80/yr if monetized</t>
  </si>
  <si>
    <t xml:space="preserve">SAM — income/motivation-qualified</t>
  </si>
  <si>
    <t xml:space="preserve">110M reachable, willing-to-pay × $80/yr</t>
  </si>
  <si>
    <t xml:space="preserve">SOM — obtainable by Year 3</t>
  </si>
  <si>
    <t xml:space="preserve">~1.2% of SAM; value = Year-3 modelled revenue (~$0.1B)</t>
  </si>
  <si>
    <t xml:space="preserve">TOP-DOWN CROSS-CHECK ($B, 2025)</t>
  </si>
  <si>
    <t xml:space="preserve">Mental-health apps market</t>
  </si>
  <si>
    <t xml:space="preserve">MarketsandMarkets (SAM aligns with this)</t>
  </si>
  <si>
    <t xml:space="preserve">Neurotechnology market</t>
  </si>
  <si>
    <t xml:space="preserve">Brain-fitness software market</t>
  </si>
  <si>
    <t xml:space="preserve">READ: SAM (~$8.8B) aligns with the cited mental-health-app market; SOM is the bottom-up Year-3 build, not a top-down slice.</t>
  </si>
  <si>
    <t xml:space="preserve">3-Year Revenue Build — Global</t>
  </si>
  <si>
    <t xml:space="preserve">Beachhead = NA optimizers/longevity (high WTP), expanding to aging, students, clinical. B2B employer = scale engine.</t>
  </si>
  <si>
    <t xml:space="preserve">Driver</t>
  </si>
  <si>
    <t xml:space="preserve">Unit</t>
  </si>
  <si>
    <t xml:space="preserve">Year 1</t>
  </si>
  <si>
    <t xml:space="preserve">Year 2</t>
  </si>
  <si>
    <t xml:space="preserve">Year 3</t>
  </si>
  <si>
    <t xml:space="preserve">Note</t>
  </si>
  <si>
    <t xml:space="preserve">B2C — CONSUMER SUBSCRIPTIONS</t>
  </si>
  <si>
    <t xml:space="preserve">Paying B2C users</t>
  </si>
  <si>
    <t xml:space="preserve">count</t>
  </si>
  <si>
    <t xml:space="preserve">Freemium @ ~4% conv; creator/longevity-led</t>
  </si>
  <si>
    <t xml:space="preserve">B2C revenue ($)</t>
  </si>
  <si>
    <t xml:space="preserve">users × $95 blended ARPU</t>
  </si>
  <si>
    <t xml:space="preserve">B2B — EMPLOYER (cognitive wellbeing)</t>
  </si>
  <si>
    <t xml:space="preserve">Employer clients</t>
  </si>
  <si>
    <t xml:space="preserve">Corporate wellbeing/longevity benefit</t>
  </si>
  <si>
    <t xml:space="preserve">Avg seats/client</t>
  </si>
  <si>
    <t xml:space="preserve">seats</t>
  </si>
  <si>
    <t xml:space="preserve">Mid-large enterprises</t>
  </si>
  <si>
    <t xml:space="preserve">Total seats</t>
  </si>
  <si>
    <t xml:space="preserve">B2B revenue ($)</t>
  </si>
  <si>
    <t xml:space="preserve">seats × $6 PEPM × 12</t>
  </si>
  <si>
    <t xml:space="preserve">HARDWARE / BIOFEEDBACK ATTACH</t>
  </si>
  <si>
    <t xml:space="preserve">Attach users</t>
  </si>
  <si>
    <t xml:space="preserve">Optional EEG/HRV integrations</t>
  </si>
  <si>
    <t xml:space="preserve">Hardware revenue ($)</t>
  </si>
  <si>
    <t xml:space="preserve">DiGA / CLINICAL (Europe)</t>
  </si>
  <si>
    <t xml:space="preserve">Reimbursed 90-day courses</t>
  </si>
  <si>
    <t xml:space="preserve">Germany DiGA listing (credibility+payer)</t>
  </si>
  <si>
    <t xml:space="preserve">DiGA revenue ($)</t>
  </si>
  <si>
    <t xml:space="preserve">TOTAL REVENUE ($)</t>
  </si>
  <si>
    <t xml:space="preserve">TOTAL REVENUE ($M)</t>
  </si>
  <si>
    <t xml:space="preserve">Memo: % revenue from B2B</t>
  </si>
  <si>
    <t xml:space="preserve">Business Model Canvas — Limber</t>
  </si>
  <si>
    <t xml:space="preserve">Neuroplasticity-core, global, evidence-honest. Osterwalder 9-block canvas.</t>
  </si>
  <si>
    <t xml:space="preserve">① Key Partners</t>
  </si>
  <si>
    <t xml:space="preserve">② Key Activities</t>
  </si>
  <si>
    <t xml:space="preserve">③ Value Propositions</t>
  </si>
  <si>
    <t xml:space="preserve">④ Customer Relationships</t>
  </si>
  <si>
    <t xml:space="preserve">⑤ Customer Segments</t>
  </si>
  <si>
    <t xml:space="preserve">• Academic neuroscience labs (efficacy studies)
• Clinical advisory board
• Wearable/biometric platforms (Oura, Apple Health, EEG)
• Employers / benefits brokers (B2B)
• German DiGA / payers (EU)
• Creators &amp; longevity communities</t>
  </si>
  <si>
    <t xml:space="preserve">• Build the Prime→Train→Consolidate loop
• Adaptive-difficulty training engine (~85% zone)
• Honest baseline assessments &amp; analytics
• Run &amp; publish efficacy studies
• World-class, accessible, localized UX</t>
  </si>
  <si>
    <t xml:space="preserve">• Train a more adaptable mind — the way science says it changes
• The integrated, HONEST plasticity stack (practice + lifestyle levers)
• Progress vs your own baseline (no overclaims)
• Personalized to your variability
• Optional biofeedback</t>
  </si>
  <si>
    <t xml:space="preserve">• Self-serve + adaptive personalization
• AI/human coaching (retention lever)
• Transparent evidence library
• Community &amp; cohorts (opt-in)
• B2B admin dashboards (aggregate)</t>
  </si>
  <si>
    <t xml:space="preserve">• Optimizers/biohackers (beachhead)
• Worried-well aging
• Students/learners
• Clinical/recovery (ADHD, stroke, long-COVID)
• Longevity enthusiasts
• Buyer: employers / clinicians</t>
  </si>
  <si>
    <t xml:space="preserve">⑥ Key Resources</t>
  </si>
  <si>
    <t xml:space="preserve">⑦ Channels</t>
  </si>
  <si>
    <t xml:space="preserve">• Proprietary adaptive training + personalization engine
• Published efficacy evidence
• Clinical advisory board &amp; brand trust
• Localized content &amp; design system
• Behavioral-science + neuro talent</t>
  </si>
  <si>
    <t xml:space="preserve">• App stores + creator/longevity marketing
• Employer benefits / brokers
• Clinics &amp; DiGA (EU)
• Wearable ecosystem partnerships
• Evidence-led PR &amp; community</t>
  </si>
  <si>
    <t xml:space="preserve">⑧ Cost Structure</t>
  </si>
  <si>
    <t xml:space="preserve">💰 Revenue Streams</t>
  </si>
  <si>
    <t xml:space="preserve">• R&amp;D: training engine, personalization, content
• Efficacy studies &amp; clinical/regulatory (DiGA)
• Coaching network (variable)
• Cloud/infra + biometric integrations
• Localization, accessibility, design
• Trust &amp; evidence marketing</t>
  </si>
  <si>
    <t xml:space="preserve">• B2C: Free / Plus $12.99/mo·$89/yr / Pro $19.99/mo
• B2B employer: ~$4–8 PEPM (scale engine)
• Hardware/biofeedback attach
• DiGA/clinical reimbursement (EU)
Year-3 modelled revenue: see Revenue Model (~$100M)</t>
  </si>
  <si>
    <t xml:space="preserve">Sources &amp; Method</t>
  </si>
  <si>
    <t xml:space="preserve">Method</t>
  </si>
  <si>
    <t xml:space="preserve">Bottom-up (users × ARPU) primary; cited market reports as cross-check. All inputs editable on Assumptions tab.</t>
  </si>
  <si>
    <t xml:space="preserve">Market size</t>
  </si>
  <si>
    <t xml:space="preserve">MarketsandMarkets (mental-health apps $9.94B→22.73B); Precedence/Fortune BI (neurotech); Global Growth Insights/FMI (brain fitness).</t>
  </si>
  <si>
    <t xml:space="preserve">Users</t>
  </si>
  <si>
    <t xml:space="preserve">Regional adult + smartphone + cognitive-concern data (Alzheimer’s ADI; biohacking surveys; DataReportal).</t>
  </si>
  <si>
    <t xml:space="preserve">Pricing</t>
  </si>
  <si>
    <t xml:space="preserve">Calm/Headspace/BrainHQ public pricing; Calm Business PEPM; DiGA mean €227/90-day (BfArM/npj Digital Medicine).</t>
  </si>
  <si>
    <t xml:space="preserve">Conversion</t>
  </si>
  <si>
    <t xml:space="preserve">Global freemium ~2–5%; beachhead (science-literate, high-intent) ~4% assumed.</t>
  </si>
  <si>
    <t xml:space="preserve">Caveat</t>
  </si>
  <si>
    <t xml:space="preserve">SOM is a planning target, not a forecast. Adherence (~70% churn in 100 days) and far-transfer overclaiming (FTC) are the top risks.</t>
  </si>
  <si>
    <t xml:space="preserve">Unit Economics &amp; Sensitivity</t>
  </si>
  <si>
    <t xml:space="preserve">Added per panel review. Blue=input. Shows why D2C must be organic/creator-led, not paid.</t>
  </si>
  <si>
    <t xml:space="preserve">B2C UNIT ECONOMICS</t>
  </si>
  <si>
    <t xml:space="preserve">From Assumptions</t>
  </si>
  <si>
    <t xml:space="preserve">Gross margin (%)</t>
  </si>
  <si>
    <t xml:space="preserve">Software-heavy; coaching variable</t>
  </si>
  <si>
    <t xml:space="preserve">Avg paid lifetime (years)</t>
  </si>
  <si>
    <t xml:space="preserve">~50% annual retention assumption</t>
  </si>
  <si>
    <t xml:space="preserve">Blended CAC ($/paying user) - organic/creator-led</t>
  </si>
  <si>
    <t xml:space="preserve">Low because trust/creator-led, not paid UA</t>
  </si>
  <si>
    <t xml:space="preserve">LTV ($)</t>
  </si>
  <si>
    <t xml:space="preserve">ARPU x GM x lifetime</t>
  </si>
  <si>
    <t xml:space="preserve">LTV : CAC</t>
  </si>
  <si>
    <t xml:space="preserve">Target &gt;= 3.0x</t>
  </si>
  <si>
    <t xml:space="preserve">CAC payback (months)</t>
  </si>
  <si>
    <t xml:space="preserve">Target &lt;= 12</t>
  </si>
  <si>
    <t xml:space="preserve">WHY PAID D2C DOES NOT WORK (Year-3 = 700k paying users)</t>
  </si>
  <si>
    <t xml:space="preserve">Year-3 paying B2C users</t>
  </si>
  <si>
    <t xml:space="preserve">From Revenue Model</t>
  </si>
  <si>
    <t xml:space="preserve">Registered users needed @ conversion</t>
  </si>
  <si>
    <t xml:space="preserve">2%</t>
  </si>
  <si>
    <t xml:space="preserve">4% (base)</t>
  </si>
  <si>
    <t xml:space="preserve">6%</t>
  </si>
  <si>
    <t xml:space="preserve">Registered users needed</t>
  </si>
  <si>
    <t xml:space="preserve">Hypothetical paid CAC per registrant ($)</t>
  </si>
  <si>
    <t xml:space="preserve">Even a low $15 paid CPI</t>
  </si>
  <si>
    <t xml:space="preserve">Paid acquisition cost to hit Year-3</t>
  </si>
  <si>
    <t xml:space="preserve">At 4% conv, ~$262M paid spend &gt; total revenue. Conclusion: D2C must be organic/creator-led; paid budget goes to B2B.</t>
  </si>
  <si>
    <t xml:space="preserve">B2B UNIT ECONOMICS</t>
  </si>
  <si>
    <t xml:space="preserve">Avg seats per client</t>
  </si>
  <si>
    <t xml:space="preserve">PEPM ($/employee/month)</t>
  </si>
  <si>
    <t xml:space="preserve">B2B CAC per deal ($) - enterprise sales</t>
  </si>
  <si>
    <t xml:space="preserve">Sales + CS; was missing from BMC</t>
  </si>
  <si>
    <t xml:space="preserve">B2B gross margin (%)</t>
  </si>
  <si>
    <t xml:space="preserve">Annual contract value ($)</t>
  </si>
  <si>
    <t xml:space="preserve">seats x PEPM x 12</t>
  </si>
  <si>
    <t xml:space="preserve">B2B CAC payback (months)</t>
  </si>
  <si>
    <t xml:space="preserve">Target &lt;= 18</t>
  </si>
  <si>
    <t xml:space="preserve">DiGA / clinical track is a CREDIBILITY + reimbursement play, not near-term revenue — treat as cost center in v1; modest revenue only after EU listing (v2).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</si>
</sst>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#,##0.0"/>
    <numFmt numFmtId="167" formatCode="\$#,##0"/>
    <numFmt numFmtId="168" formatCode="0.0%"/>
    <numFmt numFmtId="169" formatCode="#,##0.00"/>
    <numFmt numFmtId="170" formatCode="\$#,##0"/>
    <numFmt numFmtId="171" formatCode="0%"/>
    <numFmt numFmtId="172" formatCode="0.0"/>
    <numFmt numFmtId="173" formatCode="0.0\x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2F5496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5"/>
    <col collapsed="false" customWidth="true" hidden="false" outlineLevel="0" max="6" min="6" style="1" width="58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  <c r="B5" s="5" t="s">
        <v>4</v>
      </c>
      <c r="F5" s="5" t="s">
        <v>5</v>
      </c>
    </row>
    <row r="6" customFormat="false" ht="15" hidden="false" customHeight="true" outlineLevel="0" collapsed="false">
      <c r="A6" s="6" t="s">
        <v>6</v>
      </c>
      <c r="B6" s="7" t="n">
        <v>730</v>
      </c>
      <c r="F6" s="4" t="s">
        <v>7</v>
      </c>
    </row>
    <row r="7" customFormat="false" ht="15" hidden="false" customHeight="true" outlineLevel="0" collapsed="false">
      <c r="A7" s="6" t="s">
        <v>8</v>
      </c>
      <c r="B7" s="7" t="n">
        <v>110</v>
      </c>
      <c r="F7" s="4" t="s">
        <v>9</v>
      </c>
    </row>
    <row r="8" customFormat="false" ht="15" hidden="false" customHeight="true" outlineLevel="0" collapsed="false">
      <c r="A8" s="6" t="s">
        <v>10</v>
      </c>
      <c r="B8" s="8" t="n">
        <v>80</v>
      </c>
      <c r="F8" s="4" t="s">
        <v>11</v>
      </c>
    </row>
    <row r="9" customFormat="false" ht="15" hidden="false" customHeight="true" outlineLevel="0" collapsed="false">
      <c r="A9" s="6" t="s">
        <v>12</v>
      </c>
      <c r="B9" s="8" t="n">
        <v>9.94</v>
      </c>
      <c r="F9" s="4" t="s">
        <v>13</v>
      </c>
    </row>
    <row r="10" customFormat="false" ht="15" hidden="false" customHeight="true" outlineLevel="0" collapsed="false">
      <c r="A10" s="6" t="s">
        <v>14</v>
      </c>
      <c r="B10" s="8" t="n">
        <v>16</v>
      </c>
      <c r="F10" s="4" t="s">
        <v>15</v>
      </c>
    </row>
    <row r="11" customFormat="false" ht="15" hidden="false" customHeight="true" outlineLevel="0" collapsed="false">
      <c r="A11" s="6" t="s">
        <v>16</v>
      </c>
      <c r="B11" s="8" t="n">
        <v>6</v>
      </c>
      <c r="F11" s="4" t="s">
        <v>17</v>
      </c>
    </row>
    <row r="13" customFormat="false" ht="15" hidden="false" customHeight="true" outlineLevel="0" collapsed="false">
      <c r="A13" s="5" t="s">
        <v>18</v>
      </c>
      <c r="B13" s="5" t="s">
        <v>4</v>
      </c>
      <c r="F13" s="5" t="s">
        <v>19</v>
      </c>
    </row>
    <row r="14" customFormat="false" ht="15" hidden="false" customHeight="true" outlineLevel="0" collapsed="false">
      <c r="A14" s="6" t="s">
        <v>20</v>
      </c>
      <c r="B14" s="9" t="n">
        <v>89</v>
      </c>
      <c r="F14" s="4" t="s">
        <v>21</v>
      </c>
    </row>
    <row r="15" customFormat="false" ht="15" hidden="false" customHeight="true" outlineLevel="0" collapsed="false">
      <c r="A15" s="6" t="s">
        <v>22</v>
      </c>
      <c r="B15" s="9" t="n">
        <v>199</v>
      </c>
      <c r="F15" s="4" t="s">
        <v>23</v>
      </c>
    </row>
    <row r="16" customFormat="false" ht="15" hidden="false" customHeight="true" outlineLevel="0" collapsed="false">
      <c r="A16" s="6" t="s">
        <v>24</v>
      </c>
      <c r="B16" s="9" t="n">
        <v>95</v>
      </c>
      <c r="F16" s="4" t="s">
        <v>25</v>
      </c>
    </row>
    <row r="17" customFormat="false" ht="15" hidden="false" customHeight="true" outlineLevel="0" collapsed="false">
      <c r="A17" s="6" t="s">
        <v>26</v>
      </c>
      <c r="B17" s="10" t="n">
        <v>0.04</v>
      </c>
      <c r="F17" s="4" t="s">
        <v>27</v>
      </c>
    </row>
    <row r="18" customFormat="false" ht="15" hidden="false" customHeight="true" outlineLevel="0" collapsed="false">
      <c r="A18" s="6" t="s">
        <v>28</v>
      </c>
      <c r="B18" s="9" t="n">
        <v>6</v>
      </c>
      <c r="F18" s="4" t="s">
        <v>29</v>
      </c>
    </row>
    <row r="19" customFormat="false" ht="15" hidden="false" customHeight="true" outlineLevel="0" collapsed="false">
      <c r="A19" s="6" t="s">
        <v>30</v>
      </c>
      <c r="B19" s="9" t="n">
        <v>120</v>
      </c>
      <c r="F19" s="4" t="s">
        <v>31</v>
      </c>
    </row>
    <row r="20" customFormat="false" ht="15" hidden="false" customHeight="true" outlineLevel="0" collapsed="false">
      <c r="A20" s="6" t="s">
        <v>32</v>
      </c>
      <c r="B20" s="9" t="n">
        <v>250</v>
      </c>
      <c r="F20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  <col collapsed="false" customWidth="true" hidden="false" outlineLevel="0" max="6" min="6" style="1" width="56"/>
  </cols>
  <sheetData>
    <row r="1" customFormat="false" ht="18" hidden="false" customHeight="true" outlineLevel="0" collapsed="false">
      <c r="A1" s="2" t="s">
        <v>34</v>
      </c>
    </row>
    <row r="2" customFormat="false" ht="15" hidden="false" customHeight="true" outlineLevel="0" collapsed="false">
      <c r="A2" s="4" t="s">
        <v>35</v>
      </c>
    </row>
    <row r="4" customFormat="false" ht="15" hidden="false" customHeight="true" outlineLevel="0" collapsed="false">
      <c r="A4" s="5" t="s">
        <v>36</v>
      </c>
      <c r="B4" s="11" t="s">
        <v>37</v>
      </c>
      <c r="C4" s="11" t="s">
        <v>38</v>
      </c>
      <c r="D4" s="11" t="s">
        <v>39</v>
      </c>
      <c r="F4" s="11" t="s">
        <v>40</v>
      </c>
    </row>
    <row r="5" customFormat="false" ht="15" hidden="false" customHeight="true" outlineLevel="0" collapsed="false">
      <c r="A5" s="12" t="s">
        <v>41</v>
      </c>
      <c r="B5" s="13" t="n">
        <f aca="false">Assumptions!B6</f>
        <v>730</v>
      </c>
      <c r="C5" s="14" t="n">
        <f aca="false">Assumptions!B8</f>
        <v>80</v>
      </c>
      <c r="D5" s="15" t="n">
        <f aca="false">B5*C5/1000</f>
        <v>58.4</v>
      </c>
      <c r="F5" s="4" t="s">
        <v>42</v>
      </c>
    </row>
    <row r="6" customFormat="false" ht="15" hidden="false" customHeight="true" outlineLevel="0" collapsed="false">
      <c r="A6" s="12" t="s">
        <v>43</v>
      </c>
      <c r="B6" s="13" t="n">
        <f aca="false">Assumptions!B7</f>
        <v>110</v>
      </c>
      <c r="C6" s="14" t="n">
        <f aca="false">Assumptions!B8</f>
        <v>80</v>
      </c>
      <c r="D6" s="15" t="n">
        <f aca="false">B6*C6/1000</f>
        <v>8.8</v>
      </c>
      <c r="F6" s="4" t="s">
        <v>44</v>
      </c>
    </row>
    <row r="7" customFormat="false" ht="15" hidden="false" customHeight="true" outlineLevel="0" collapsed="false">
      <c r="A7" s="12" t="s">
        <v>45</v>
      </c>
      <c r="B7" s="16" t="n">
        <f aca="false">B6*0.012</f>
        <v>1.32</v>
      </c>
      <c r="C7" s="14" t="n">
        <f aca="false">Assumptions!B8</f>
        <v>80</v>
      </c>
      <c r="D7" s="17" t="n">
        <f aca="false">'Revenue Model'!E20/1000000000</f>
        <v>0.10342</v>
      </c>
      <c r="F7" s="4" t="s">
        <v>46</v>
      </c>
    </row>
    <row r="9" customFormat="false" ht="15" hidden="false" customHeight="true" outlineLevel="0" collapsed="false">
      <c r="A9" s="5" t="s">
        <v>47</v>
      </c>
      <c r="B9" s="18"/>
      <c r="C9" s="18"/>
      <c r="D9" s="18"/>
      <c r="F9" s="18"/>
    </row>
    <row r="10" customFormat="false" ht="15" hidden="false" customHeight="true" outlineLevel="0" collapsed="false">
      <c r="A10" s="6" t="s">
        <v>48</v>
      </c>
      <c r="B10" s="19" t="n">
        <f aca="false">Assumptions!B9</f>
        <v>9.94</v>
      </c>
      <c r="F10" s="4" t="s">
        <v>49</v>
      </c>
    </row>
    <row r="11" customFormat="false" ht="15" hidden="false" customHeight="true" outlineLevel="0" collapsed="false">
      <c r="A11" s="6" t="s">
        <v>50</v>
      </c>
      <c r="B11" s="19" t="n">
        <f aca="false">Assumptions!B10</f>
        <v>16</v>
      </c>
    </row>
    <row r="12" customFormat="false" ht="15" hidden="false" customHeight="true" outlineLevel="0" collapsed="false">
      <c r="A12" s="6" t="s">
        <v>51</v>
      </c>
      <c r="B12" s="19" t="n">
        <f aca="false">Assumptions!B11</f>
        <v>6</v>
      </c>
    </row>
    <row r="14" customFormat="false" ht="15" hidden="false" customHeight="true" outlineLevel="0" collapsed="false">
      <c r="A14" s="20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5" min="2" style="1" width="15"/>
    <col collapsed="false" customWidth="true" hidden="false" outlineLevel="0" max="6" min="6" style="1" width="44"/>
  </cols>
  <sheetData>
    <row r="1" customFormat="false" ht="18" hidden="false" customHeight="true" outlineLevel="0" collapsed="false">
      <c r="A1" s="2" t="s">
        <v>53</v>
      </c>
    </row>
    <row r="2" customFormat="false" ht="15" hidden="false" customHeight="true" outlineLevel="0" collapsed="false">
      <c r="A2" s="4" t="s">
        <v>54</v>
      </c>
    </row>
    <row r="4" customFormat="false" ht="15" hidden="false" customHeight="true" outlineLevel="0" collapsed="false">
      <c r="A4" s="21" t="s">
        <v>55</v>
      </c>
      <c r="B4" s="21" t="s">
        <v>56</v>
      </c>
      <c r="C4" s="21" t="s">
        <v>57</v>
      </c>
      <c r="D4" s="21" t="s">
        <v>58</v>
      </c>
      <c r="E4" s="21" t="s">
        <v>59</v>
      </c>
      <c r="F4" s="21" t="s">
        <v>60</v>
      </c>
    </row>
    <row r="6" customFormat="false" ht="15" hidden="false" customHeight="true" outlineLevel="0" collapsed="false">
      <c r="A6" s="5" t="s">
        <v>61</v>
      </c>
      <c r="B6" s="18"/>
      <c r="C6" s="18"/>
      <c r="D6" s="18"/>
      <c r="E6" s="18"/>
      <c r="F6" s="18"/>
    </row>
    <row r="7" customFormat="false" ht="15" hidden="false" customHeight="true" outlineLevel="0" collapsed="false">
      <c r="A7" s="6" t="s">
        <v>62</v>
      </c>
      <c r="B7" s="4" t="s">
        <v>63</v>
      </c>
      <c r="C7" s="7" t="n">
        <v>40000</v>
      </c>
      <c r="D7" s="7" t="n">
        <v>200000</v>
      </c>
      <c r="E7" s="7" t="n">
        <v>700000</v>
      </c>
      <c r="F7" s="4" t="s">
        <v>64</v>
      </c>
    </row>
    <row r="8" customFormat="false" ht="15" hidden="false" customHeight="true" outlineLevel="0" collapsed="false">
      <c r="A8" s="6" t="s">
        <v>65</v>
      </c>
      <c r="C8" s="22" t="n">
        <f aca="false">C7*Assumptions!$B$16</f>
        <v>3800000</v>
      </c>
      <c r="D8" s="22" t="n">
        <f aca="false">D7*Assumptions!$B$16</f>
        <v>19000000</v>
      </c>
      <c r="E8" s="22" t="n">
        <f aca="false">E7*Assumptions!$B$16</f>
        <v>66500000</v>
      </c>
      <c r="F8" s="4" t="s">
        <v>66</v>
      </c>
    </row>
    <row r="9" customFormat="false" ht="15" hidden="false" customHeight="true" outlineLevel="0" collapsed="false">
      <c r="A9" s="5" t="s">
        <v>67</v>
      </c>
      <c r="B9" s="18"/>
      <c r="C9" s="18"/>
      <c r="D9" s="18"/>
      <c r="E9" s="18"/>
      <c r="F9" s="18"/>
    </row>
    <row r="10" customFormat="false" ht="15" hidden="false" customHeight="true" outlineLevel="0" collapsed="false">
      <c r="A10" s="6" t="s">
        <v>68</v>
      </c>
      <c r="B10" s="4" t="s">
        <v>63</v>
      </c>
      <c r="C10" s="7" t="n">
        <v>5</v>
      </c>
      <c r="D10" s="7" t="n">
        <v>30</v>
      </c>
      <c r="E10" s="7" t="n">
        <v>90</v>
      </c>
      <c r="F10" s="4" t="s">
        <v>69</v>
      </c>
    </row>
    <row r="11" customFormat="false" ht="15" hidden="false" customHeight="true" outlineLevel="0" collapsed="false">
      <c r="A11" s="6" t="s">
        <v>70</v>
      </c>
      <c r="B11" s="4" t="s">
        <v>71</v>
      </c>
      <c r="C11" s="7" t="n">
        <v>2000</v>
      </c>
      <c r="D11" s="7" t="n">
        <v>3000</v>
      </c>
      <c r="E11" s="7" t="n">
        <v>4000</v>
      </c>
      <c r="F11" s="4" t="s">
        <v>72</v>
      </c>
    </row>
    <row r="12" customFormat="false" ht="15" hidden="false" customHeight="true" outlineLevel="0" collapsed="false">
      <c r="A12" s="6" t="s">
        <v>73</v>
      </c>
      <c r="C12" s="23" t="n">
        <f aca="false">C10*C11</f>
        <v>10000</v>
      </c>
      <c r="D12" s="23" t="n">
        <f aca="false">D10*D11</f>
        <v>90000</v>
      </c>
      <c r="E12" s="23" t="n">
        <f aca="false">E10*E11</f>
        <v>360000</v>
      </c>
    </row>
    <row r="13" customFormat="false" ht="15" hidden="false" customHeight="true" outlineLevel="0" collapsed="false">
      <c r="A13" s="6" t="s">
        <v>74</v>
      </c>
      <c r="C13" s="22" t="n">
        <f aca="false">C12*Assumptions!$B$18*12</f>
        <v>720000</v>
      </c>
      <c r="D13" s="22" t="n">
        <f aca="false">D12*Assumptions!$B$18*12</f>
        <v>6480000</v>
      </c>
      <c r="E13" s="22" t="n">
        <f aca="false">E12*Assumptions!$B$18*12</f>
        <v>25920000</v>
      </c>
      <c r="F13" s="4" t="s">
        <v>75</v>
      </c>
    </row>
    <row r="14" customFormat="false" ht="15" hidden="false" customHeight="true" outlineLevel="0" collapsed="false">
      <c r="A14" s="5" t="s">
        <v>76</v>
      </c>
      <c r="B14" s="18"/>
      <c r="C14" s="18"/>
      <c r="D14" s="18"/>
      <c r="E14" s="18"/>
      <c r="F14" s="18"/>
    </row>
    <row r="15" customFormat="false" ht="15" hidden="false" customHeight="true" outlineLevel="0" collapsed="false">
      <c r="A15" s="6" t="s">
        <v>77</v>
      </c>
      <c r="B15" s="4" t="s">
        <v>63</v>
      </c>
      <c r="C15" s="7" t="n">
        <v>3000</v>
      </c>
      <c r="D15" s="7" t="n">
        <v>20000</v>
      </c>
      <c r="E15" s="7" t="n">
        <v>50000</v>
      </c>
      <c r="F15" s="4" t="s">
        <v>78</v>
      </c>
    </row>
    <row r="16" customFormat="false" ht="15" hidden="false" customHeight="true" outlineLevel="0" collapsed="false">
      <c r="A16" s="6" t="s">
        <v>79</v>
      </c>
      <c r="C16" s="22" t="n">
        <f aca="false">C15*Assumptions!$B$19</f>
        <v>360000</v>
      </c>
      <c r="D16" s="22" t="n">
        <f aca="false">D15*Assumptions!$B$19</f>
        <v>2400000</v>
      </c>
      <c r="E16" s="22" t="n">
        <f aca="false">E15*Assumptions!$B$19</f>
        <v>6000000</v>
      </c>
    </row>
    <row r="17" customFormat="false" ht="15" hidden="false" customHeight="true" outlineLevel="0" collapsed="false">
      <c r="A17" s="5" t="s">
        <v>80</v>
      </c>
      <c r="B17" s="18"/>
      <c r="C17" s="18"/>
      <c r="D17" s="18"/>
      <c r="E17" s="18"/>
      <c r="F17" s="18"/>
    </row>
    <row r="18" customFormat="false" ht="15" hidden="false" customHeight="true" outlineLevel="0" collapsed="false">
      <c r="A18" s="6" t="s">
        <v>81</v>
      </c>
      <c r="B18" s="4" t="s">
        <v>63</v>
      </c>
      <c r="C18" s="7" t="n">
        <v>0</v>
      </c>
      <c r="D18" s="7" t="n">
        <v>5000</v>
      </c>
      <c r="E18" s="7" t="n">
        <v>20000</v>
      </c>
      <c r="F18" s="4" t="s">
        <v>82</v>
      </c>
    </row>
    <row r="19" customFormat="false" ht="15" hidden="false" customHeight="true" outlineLevel="0" collapsed="false">
      <c r="A19" s="6" t="s">
        <v>83</v>
      </c>
      <c r="C19" s="22" t="n">
        <f aca="false">C18*Assumptions!$B$20</f>
        <v>0</v>
      </c>
      <c r="D19" s="22" t="n">
        <f aca="false">D18*Assumptions!$B$20</f>
        <v>1250000</v>
      </c>
      <c r="E19" s="22" t="n">
        <f aca="false">E18*Assumptions!$B$20</f>
        <v>5000000</v>
      </c>
    </row>
    <row r="20" customFormat="false" ht="15" hidden="false" customHeight="true" outlineLevel="0" collapsed="false">
      <c r="A20" s="3" t="s">
        <v>84</v>
      </c>
      <c r="C20" s="24" t="n">
        <f aca="false">C8+C13+C16+C19</f>
        <v>4880000</v>
      </c>
      <c r="D20" s="24" t="n">
        <f aca="false">D8+D13+D16+D19</f>
        <v>29130000</v>
      </c>
      <c r="E20" s="24" t="n">
        <f aca="false">E8+E13+E16+E19</f>
        <v>103420000</v>
      </c>
    </row>
    <row r="21" customFormat="false" ht="15" hidden="false" customHeight="true" outlineLevel="0" collapsed="false">
      <c r="A21" s="3" t="s">
        <v>85</v>
      </c>
      <c r="C21" s="25" t="n">
        <f aca="false">C20/1000000</f>
        <v>4.88</v>
      </c>
      <c r="D21" s="25" t="n">
        <f aca="false">D20/1000000</f>
        <v>29.13</v>
      </c>
      <c r="E21" s="25" t="n">
        <f aca="false">E20/1000000</f>
        <v>103.42</v>
      </c>
    </row>
    <row r="23" customFormat="false" ht="15" hidden="false" customHeight="true" outlineLevel="0" collapsed="false">
      <c r="A23" s="6" t="s">
        <v>86</v>
      </c>
      <c r="C23" s="26" t="n">
        <f aca="false">C13/C20</f>
        <v>0.147540983606557</v>
      </c>
      <c r="D23" s="26" t="n">
        <f aca="false">D13/D20</f>
        <v>0.222451081359423</v>
      </c>
      <c r="E23" s="26" t="n">
        <f aca="false">E13/E20</f>
        <v>0.250628505124734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1" width="34"/>
  </cols>
  <sheetData>
    <row r="1" customFormat="false" ht="18" hidden="false" customHeight="true" outlineLevel="0" collapsed="false">
      <c r="A1" s="2" t="s">
        <v>87</v>
      </c>
    </row>
    <row r="2" customFormat="false" ht="15" hidden="false" customHeight="true" outlineLevel="0" collapsed="false">
      <c r="A2" s="4" t="s">
        <v>88</v>
      </c>
    </row>
    <row r="4" customFormat="false" ht="15" hidden="false" customHeight="true" outlineLevel="0" collapsed="false">
      <c r="A4" s="27" t="s">
        <v>89</v>
      </c>
      <c r="B4" s="27" t="s">
        <v>90</v>
      </c>
      <c r="C4" s="27" t="s">
        <v>91</v>
      </c>
      <c r="D4" s="27" t="s">
        <v>92</v>
      </c>
      <c r="E4" s="27" t="s">
        <v>93</v>
      </c>
    </row>
    <row r="5" customFormat="false" ht="120" hidden="false" customHeight="true" outlineLevel="0" collapsed="false">
      <c r="A5" s="28" t="s">
        <v>94</v>
      </c>
      <c r="B5" s="28" t="s">
        <v>95</v>
      </c>
      <c r="C5" s="28" t="s">
        <v>96</v>
      </c>
      <c r="D5" s="28" t="s">
        <v>97</v>
      </c>
      <c r="E5" s="28" t="s">
        <v>98</v>
      </c>
    </row>
    <row r="6" customFormat="false" ht="15" hidden="false" customHeight="true" outlineLevel="0" collapsed="false">
      <c r="A6" s="28"/>
      <c r="B6" s="28"/>
      <c r="C6" s="28"/>
      <c r="D6" s="28"/>
      <c r="E6" s="28"/>
    </row>
    <row r="7" customFormat="false" ht="15" hidden="false" customHeight="true" outlineLevel="0" collapsed="false">
      <c r="A7" s="28"/>
      <c r="B7" s="28"/>
      <c r="C7" s="28"/>
      <c r="D7" s="28"/>
      <c r="E7" s="28"/>
    </row>
    <row r="8" customFormat="false" ht="15" hidden="false" customHeight="true" outlineLevel="0" collapsed="false">
      <c r="A8" s="28"/>
      <c r="B8" s="28"/>
      <c r="C8" s="28"/>
      <c r="D8" s="28"/>
      <c r="E8" s="28"/>
    </row>
    <row r="9" customFormat="false" ht="15" hidden="false" customHeight="true" outlineLevel="0" collapsed="false">
      <c r="A9" s="28"/>
      <c r="B9" s="28"/>
      <c r="C9" s="28"/>
      <c r="D9" s="28"/>
      <c r="E9" s="28"/>
    </row>
    <row r="10" customFormat="false" ht="15" hidden="false" customHeight="true" outlineLevel="0" collapsed="false">
      <c r="A10" s="28"/>
      <c r="B10" s="28"/>
      <c r="C10" s="28"/>
      <c r="D10" s="28"/>
      <c r="E10" s="28"/>
    </row>
    <row r="12" customFormat="false" ht="15" hidden="false" customHeight="true" outlineLevel="0" collapsed="false">
      <c r="A12" s="27" t="s">
        <v>99</v>
      </c>
      <c r="C12" s="27" t="s">
        <v>100</v>
      </c>
    </row>
    <row r="13" customFormat="false" ht="120" hidden="false" customHeight="true" outlineLevel="0" collapsed="false">
      <c r="A13" s="28" t="s">
        <v>101</v>
      </c>
      <c r="C13" s="28" t="s">
        <v>102</v>
      </c>
    </row>
    <row r="14" customFormat="false" ht="15" hidden="false" customHeight="true" outlineLevel="0" collapsed="false">
      <c r="A14" s="28"/>
      <c r="C14" s="28"/>
    </row>
    <row r="15" customFormat="false" ht="15" hidden="false" customHeight="true" outlineLevel="0" collapsed="false">
      <c r="A15" s="28"/>
      <c r="C15" s="28"/>
    </row>
    <row r="16" customFormat="false" ht="15" hidden="false" customHeight="true" outlineLevel="0" collapsed="false">
      <c r="A16" s="28"/>
      <c r="C16" s="28"/>
    </row>
    <row r="17" customFormat="false" ht="15" hidden="false" customHeight="true" outlineLevel="0" collapsed="false">
      <c r="A17" s="28"/>
      <c r="C17" s="28"/>
    </row>
    <row r="18" customFormat="false" ht="15" hidden="false" customHeight="true" outlineLevel="0" collapsed="false">
      <c r="A18" s="28"/>
      <c r="C18" s="28"/>
    </row>
    <row r="20" customFormat="false" ht="15" hidden="false" customHeight="true" outlineLevel="0" collapsed="false">
      <c r="A20" s="29" t="s">
        <v>103</v>
      </c>
      <c r="B20" s="30"/>
      <c r="C20" s="29" t="s">
        <v>104</v>
      </c>
      <c r="D20" s="30"/>
      <c r="E20" s="30"/>
    </row>
    <row r="21" customFormat="false" ht="15" hidden="false" customHeight="true" outlineLevel="0" collapsed="false">
      <c r="A21" s="28" t="s">
        <v>105</v>
      </c>
      <c r="B21" s="28"/>
      <c r="C21" s="28" t="s">
        <v>106</v>
      </c>
      <c r="D21" s="28"/>
      <c r="E21" s="28"/>
    </row>
    <row r="22" customFormat="false" ht="15" hidden="false" customHeight="true" outlineLevel="0" collapsed="false">
      <c r="A22" s="28"/>
      <c r="B22" s="28"/>
      <c r="C22" s="28"/>
      <c r="D22" s="28"/>
      <c r="E22" s="28"/>
    </row>
    <row r="23" customFormat="false" ht="15" hidden="false" customHeight="true" outlineLevel="0" collapsed="false">
      <c r="A23" s="28"/>
      <c r="B23" s="28"/>
      <c r="C23" s="28"/>
      <c r="D23" s="28"/>
      <c r="E23" s="28"/>
    </row>
    <row r="24" customFormat="false" ht="15" hidden="false" customHeight="true" outlineLevel="0" collapsed="false">
      <c r="A24" s="28"/>
      <c r="B24" s="28"/>
      <c r="C24" s="28"/>
      <c r="D24" s="28"/>
      <c r="E24" s="28"/>
    </row>
    <row r="25" customFormat="false" ht="15" hidden="false" customHeight="true" outlineLevel="0" collapsed="false">
      <c r="A25" s="28"/>
      <c r="B25" s="28"/>
      <c r="C25" s="28"/>
      <c r="D25" s="28"/>
      <c r="E25" s="28"/>
    </row>
    <row r="26" customFormat="false" ht="15" hidden="false" customHeight="true" outlineLevel="0" collapsed="false">
      <c r="A26" s="28"/>
      <c r="B26" s="28"/>
      <c r="C26" s="28"/>
      <c r="D26" s="28"/>
      <c r="E26" s="28"/>
    </row>
  </sheetData>
  <mergeCells count="9">
    <mergeCell ref="A5:A10"/>
    <mergeCell ref="B5:B10"/>
    <mergeCell ref="C5:C10"/>
    <mergeCell ref="D5:D10"/>
    <mergeCell ref="E5:E10"/>
    <mergeCell ref="A13:A18"/>
    <mergeCell ref="C13:C18"/>
    <mergeCell ref="A21:B26"/>
    <mergeCell ref="C21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92"/>
  </cols>
  <sheetData>
    <row r="1" customFormat="false" ht="18" hidden="false" customHeight="true" outlineLevel="0" collapsed="false">
      <c r="A1" s="2" t="s">
        <v>107</v>
      </c>
    </row>
    <row r="3" customFormat="false" ht="42" hidden="false" customHeight="true" outlineLevel="0" collapsed="false">
      <c r="A3" s="31" t="s">
        <v>108</v>
      </c>
      <c r="B3" s="32" t="s">
        <v>109</v>
      </c>
    </row>
    <row r="4" customFormat="false" ht="42" hidden="false" customHeight="true" outlineLevel="0" collapsed="false">
      <c r="A4" s="31" t="s">
        <v>110</v>
      </c>
      <c r="B4" s="32" t="s">
        <v>111</v>
      </c>
    </row>
    <row r="5" customFormat="false" ht="42" hidden="false" customHeight="true" outlineLevel="0" collapsed="false">
      <c r="A5" s="31" t="s">
        <v>112</v>
      </c>
      <c r="B5" s="32" t="s">
        <v>113</v>
      </c>
    </row>
    <row r="6" customFormat="false" ht="42" hidden="false" customHeight="true" outlineLevel="0" collapsed="false">
      <c r="A6" s="31" t="s">
        <v>114</v>
      </c>
      <c r="B6" s="32" t="s">
        <v>115</v>
      </c>
    </row>
    <row r="7" customFormat="false" ht="42" hidden="false" customHeight="true" outlineLevel="0" collapsed="false">
      <c r="A7" s="31" t="s">
        <v>116</v>
      </c>
      <c r="B7" s="32" t="s">
        <v>117</v>
      </c>
    </row>
    <row r="8" customFormat="false" ht="42" hidden="false" customHeight="true" outlineLevel="0" collapsed="false">
      <c r="A8" s="31" t="s">
        <v>118</v>
      </c>
      <c r="B8" s="32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5"/>
    <col collapsed="false" customWidth="true" hidden="false" outlineLevel="0" max="6" min="6" style="0" width="52"/>
  </cols>
  <sheetData>
    <row r="1" customFormat="false" ht="18.55" hidden="false" customHeight="false" outlineLevel="0" collapsed="false">
      <c r="A1" s="33" t="s">
        <v>120</v>
      </c>
    </row>
    <row r="2" customFormat="false" ht="15" hidden="false" customHeight="false" outlineLevel="0" collapsed="false">
      <c r="A2" s="34" t="s">
        <v>121</v>
      </c>
    </row>
    <row r="4" customFormat="false" ht="15" hidden="false" customHeight="false" outlineLevel="0" collapsed="false">
      <c r="A4" s="35" t="s">
        <v>122</v>
      </c>
      <c r="B4" s="36"/>
      <c r="C4" s="36"/>
      <c r="D4" s="36"/>
      <c r="F4" s="36"/>
    </row>
    <row r="5" customFormat="false" ht="15" hidden="false" customHeight="false" outlineLevel="0" collapsed="false">
      <c r="A5" s="37" t="s">
        <v>24</v>
      </c>
      <c r="B5" s="38" t="n">
        <v>95</v>
      </c>
      <c r="F5" s="34" t="s">
        <v>123</v>
      </c>
    </row>
    <row r="6" customFormat="false" ht="15" hidden="false" customHeight="false" outlineLevel="0" collapsed="false">
      <c r="A6" s="37" t="s">
        <v>124</v>
      </c>
      <c r="B6" s="39" t="n">
        <v>0.75</v>
      </c>
      <c r="F6" s="34" t="s">
        <v>125</v>
      </c>
    </row>
    <row r="7" customFormat="false" ht="15" hidden="false" customHeight="false" outlineLevel="0" collapsed="false">
      <c r="A7" s="37" t="s">
        <v>126</v>
      </c>
      <c r="B7" s="40" t="n">
        <v>2</v>
      </c>
      <c r="F7" s="34" t="s">
        <v>127</v>
      </c>
    </row>
    <row r="8" customFormat="false" ht="15" hidden="false" customHeight="false" outlineLevel="0" collapsed="false">
      <c r="A8" s="37" t="s">
        <v>128</v>
      </c>
      <c r="B8" s="38" t="n">
        <v>25</v>
      </c>
      <c r="F8" s="34" t="s">
        <v>129</v>
      </c>
    </row>
    <row r="9" customFormat="false" ht="15" hidden="false" customHeight="false" outlineLevel="0" collapsed="false">
      <c r="A9" s="37" t="s">
        <v>130</v>
      </c>
      <c r="B9" s="41" t="n">
        <f aca="false">B5*B6*B7</f>
        <v>142.5</v>
      </c>
      <c r="F9" s="34" t="s">
        <v>131</v>
      </c>
    </row>
    <row r="10" customFormat="false" ht="15" hidden="false" customHeight="false" outlineLevel="0" collapsed="false">
      <c r="A10" s="37" t="s">
        <v>132</v>
      </c>
      <c r="B10" s="42" t="n">
        <f aca="false">B9/B8</f>
        <v>5.7</v>
      </c>
      <c r="F10" s="34" t="s">
        <v>133</v>
      </c>
    </row>
    <row r="11" customFormat="false" ht="15" hidden="false" customHeight="false" outlineLevel="0" collapsed="false">
      <c r="A11" s="37" t="s">
        <v>134</v>
      </c>
      <c r="B11" s="43" t="n">
        <f aca="false">B8/(B5*B6/12)</f>
        <v>4.21052631578947</v>
      </c>
      <c r="F11" s="34" t="s">
        <v>135</v>
      </c>
    </row>
    <row r="13" customFormat="false" ht="15" hidden="false" customHeight="false" outlineLevel="0" collapsed="false">
      <c r="A13" s="35" t="s">
        <v>136</v>
      </c>
      <c r="B13" s="36"/>
      <c r="C13" s="36"/>
      <c r="D13" s="36"/>
      <c r="F13" s="36"/>
    </row>
    <row r="14" customFormat="false" ht="15" hidden="false" customHeight="false" outlineLevel="0" collapsed="false">
      <c r="A14" s="37" t="s">
        <v>137</v>
      </c>
      <c r="B14" s="44" t="n">
        <v>700000</v>
      </c>
      <c r="F14" s="34" t="s">
        <v>138</v>
      </c>
    </row>
    <row r="15" customFormat="false" ht="15" hidden="false" customHeight="false" outlineLevel="0" collapsed="false">
      <c r="A15" s="35" t="s">
        <v>139</v>
      </c>
      <c r="B15" s="35" t="s">
        <v>140</v>
      </c>
      <c r="C15" s="35" t="s">
        <v>141</v>
      </c>
      <c r="D15" s="35" t="s">
        <v>142</v>
      </c>
    </row>
    <row r="16" customFormat="false" ht="15" hidden="false" customHeight="false" outlineLevel="0" collapsed="false">
      <c r="A16" s="37" t="s">
        <v>143</v>
      </c>
      <c r="B16" s="45" t="n">
        <f aca="false">$B$14/0.02</f>
        <v>35000000</v>
      </c>
      <c r="C16" s="45" t="n">
        <f aca="false">$B$14/0.04</f>
        <v>17500000</v>
      </c>
      <c r="D16" s="45" t="n">
        <f aca="false">$B$14/0.06</f>
        <v>11666666.6666667</v>
      </c>
    </row>
    <row r="17" customFormat="false" ht="15" hidden="false" customHeight="false" outlineLevel="0" collapsed="false">
      <c r="A17" s="37" t="s">
        <v>144</v>
      </c>
      <c r="B17" s="38" t="n">
        <v>15</v>
      </c>
      <c r="F17" s="34" t="s">
        <v>145</v>
      </c>
    </row>
    <row r="18" customFormat="false" ht="15" hidden="false" customHeight="false" outlineLevel="0" collapsed="false">
      <c r="A18" s="37" t="s">
        <v>146</v>
      </c>
      <c r="B18" s="41" t="n">
        <f aca="false">B16*$B$17</f>
        <v>525000000</v>
      </c>
      <c r="C18" s="41" t="n">
        <f aca="false">C16*$B$17</f>
        <v>262500000</v>
      </c>
      <c r="D18" s="41" t="n">
        <f aca="false">D16*$B$17</f>
        <v>175000000</v>
      </c>
      <c r="F18" s="34" t="s">
        <v>147</v>
      </c>
    </row>
    <row r="20" customFormat="false" ht="15" hidden="false" customHeight="false" outlineLevel="0" collapsed="false">
      <c r="A20" s="35" t="s">
        <v>148</v>
      </c>
      <c r="B20" s="36"/>
      <c r="C20" s="36"/>
      <c r="D20" s="36"/>
      <c r="F20" s="36"/>
    </row>
    <row r="21" customFormat="false" ht="15" hidden="false" customHeight="false" outlineLevel="0" collapsed="false">
      <c r="A21" s="37" t="s">
        <v>149</v>
      </c>
      <c r="B21" s="44" t="n">
        <v>4000</v>
      </c>
    </row>
    <row r="22" customFormat="false" ht="15" hidden="false" customHeight="false" outlineLevel="0" collapsed="false">
      <c r="A22" s="37" t="s">
        <v>150</v>
      </c>
      <c r="B22" s="38" t="n">
        <v>6</v>
      </c>
    </row>
    <row r="23" customFormat="false" ht="15" hidden="false" customHeight="false" outlineLevel="0" collapsed="false">
      <c r="A23" s="37" t="s">
        <v>151</v>
      </c>
      <c r="B23" s="38" t="n">
        <v>40000</v>
      </c>
      <c r="F23" s="34" t="s">
        <v>152</v>
      </c>
    </row>
    <row r="24" customFormat="false" ht="15" hidden="false" customHeight="false" outlineLevel="0" collapsed="false">
      <c r="A24" s="37" t="s">
        <v>153</v>
      </c>
      <c r="B24" s="39" t="n">
        <v>0.8</v>
      </c>
    </row>
    <row r="25" customFormat="false" ht="15" hidden="false" customHeight="false" outlineLevel="0" collapsed="false">
      <c r="A25" s="37" t="s">
        <v>154</v>
      </c>
      <c r="B25" s="41" t="n">
        <f aca="false">B21*B22*12</f>
        <v>288000</v>
      </c>
      <c r="F25" s="34" t="s">
        <v>155</v>
      </c>
    </row>
    <row r="26" customFormat="false" ht="15" hidden="false" customHeight="false" outlineLevel="0" collapsed="false">
      <c r="A26" s="37" t="s">
        <v>156</v>
      </c>
      <c r="B26" s="43" t="n">
        <f aca="false">B23/(B25*B24/12)</f>
        <v>2.08333333333333</v>
      </c>
      <c r="F26" s="34" t="s">
        <v>157</v>
      </c>
    </row>
    <row r="28" customFormat="false" ht="15" hidden="false" customHeight="false" outlineLevel="0" collapsed="false">
      <c r="A28" s="46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2026-06-11T17:25:54Z</dcterms:created>
  <dc:creator>openpyxl</dc:creator>
  <dc:description/>
  <dc:language>en-US</dc:language>
  <cp:lastModifiedBy/>
  <dcterms:modified xsi:type="dcterms:W3CDTF">2026-06-11T18:12:50Z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